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82FD30FE-70FF-4BF7-AFD7-589CA2D34450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Chapas" sheetId="1" r:id="rId1"/>
    <sheet name="Freeagens" sheetId="2" r:id="rId2"/>
    <sheet name="Orl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7" i="1"/>
  <c r="G28" i="1"/>
  <c r="G29" i="1"/>
  <c r="G30" i="1"/>
  <c r="G31" i="1"/>
  <c r="G20" i="1"/>
  <c r="G21" i="1"/>
  <c r="G19" i="1"/>
  <c r="G34" i="1"/>
  <c r="G35" i="1"/>
  <c r="G36" i="1"/>
  <c r="G33" i="1"/>
</calcChain>
</file>

<file path=xl/sharedStrings.xml><?xml version="1.0" encoding="utf-8"?>
<sst xmlns="http://schemas.openxmlformats.org/spreadsheetml/2006/main" count="244" uniqueCount="132">
  <si>
    <t>Nome atual</t>
  </si>
  <si>
    <t>Nome novo padronizado</t>
  </si>
  <si>
    <t>REF</t>
  </si>
  <si>
    <t>Espessura (mm)</t>
  </si>
  <si>
    <t>Medida da chapa</t>
  </si>
  <si>
    <t>Preço da chapa completa (€)</t>
  </si>
  <si>
    <t>Preço por m² (€)</t>
  </si>
  <si>
    <t>Preço de venda por m² (€)</t>
  </si>
  <si>
    <t>MDF Branco 19</t>
  </si>
  <si>
    <t/>
  </si>
  <si>
    <t>mdf_branco-19</t>
  </si>
  <si>
    <t>2800 × 2070</t>
  </si>
  <si>
    <t>mdf_branco-16</t>
  </si>
  <si>
    <t>mdf_branco-10</t>
  </si>
  <si>
    <t>Laminado Linho Cancun 19</t>
  </si>
  <si>
    <t>MDF Preto 19</t>
  </si>
  <si>
    <t>mdf_preto-19</t>
  </si>
  <si>
    <t>mdf_preto-16</t>
  </si>
  <si>
    <t>mdf_preto-10</t>
  </si>
  <si>
    <t>HDF CRU 19mm</t>
  </si>
  <si>
    <t>Carvalho 20</t>
  </si>
  <si>
    <t>AGL_Carvalho 19</t>
  </si>
  <si>
    <t>Nogueira 20</t>
  </si>
  <si>
    <t>Lacado 20</t>
  </si>
  <si>
    <t>Nome</t>
  </si>
  <si>
    <t>Espessura / medida</t>
  </si>
  <si>
    <t>Preço por unidade (€)</t>
  </si>
  <si>
    <t>Preço por metro (€)</t>
  </si>
  <si>
    <t>Parafuso 4×50</t>
  </si>
  <si>
    <t>parafuso_4x50</t>
  </si>
  <si>
    <t>4mm × 50mm</t>
  </si>
  <si>
    <t>Parafuso 3×30</t>
  </si>
  <si>
    <t>parafuso_3x30</t>
  </si>
  <si>
    <t>3mm × 30mm</t>
  </si>
  <si>
    <t>Parafuso 4×35</t>
  </si>
  <si>
    <t>parafuso_4x35</t>
  </si>
  <si>
    <t>4mm × 35mm</t>
  </si>
  <si>
    <t>Parafuso 5×50</t>
  </si>
  <si>
    <t>parafuso_5x50</t>
  </si>
  <si>
    <t>5mm × 50mm</t>
  </si>
  <si>
    <t>puxa 8mm</t>
  </si>
  <si>
    <t>puxa_8mm</t>
  </si>
  <si>
    <t>8mm × 30mm</t>
  </si>
  <si>
    <t>Cavilha 8mm</t>
  </si>
  <si>
    <t>cavilha_8mm</t>
  </si>
  <si>
    <t>Ø8mm</t>
  </si>
  <si>
    <t>CAVILHA_10x40</t>
  </si>
  <si>
    <t>cavilha_10x40</t>
  </si>
  <si>
    <t>Ø10mm × 40mm</t>
  </si>
  <si>
    <t>Dobradiça I-Sensys 8645i</t>
  </si>
  <si>
    <t>dobradica_35mm</t>
  </si>
  <si>
    <t>35mm</t>
  </si>
  <si>
    <t>Calço</t>
  </si>
  <si>
    <t>calco_00</t>
  </si>
  <si>
    <t>37mm</t>
  </si>
  <si>
    <t>calco_03</t>
  </si>
  <si>
    <t>Suporte de Prateleira</t>
  </si>
  <si>
    <t>suporte_prateleira</t>
  </si>
  <si>
    <t>Corrediça Lateral Esquerda</t>
  </si>
  <si>
    <t>corredica_esq</t>
  </si>
  <si>
    <t>Corrediça Lateral Direita</t>
  </si>
  <si>
    <t>corredica_dir</t>
  </si>
  <si>
    <t>Prego para Costa</t>
  </si>
  <si>
    <t>prego_costa</t>
  </si>
  <si>
    <t>2mm × 20mm</t>
  </si>
  <si>
    <t>Parafuso para Puxador</t>
  </si>
  <si>
    <t>parafuso_puxador</t>
  </si>
  <si>
    <t>M4 × 25mm</t>
  </si>
  <si>
    <t>Pé</t>
  </si>
  <si>
    <t>pe_plastico</t>
  </si>
  <si>
    <t>100mm</t>
  </si>
  <si>
    <t>Preço por rolo (€)</t>
  </si>
  <si>
    <t>Branco PVC 0.8×23 mm</t>
  </si>
  <si>
    <t>branco_pvc_08_23mm</t>
  </si>
  <si>
    <t>Branco PVC 0.8×20 mm</t>
  </si>
  <si>
    <t>branco_pvc_08_20mm</t>
  </si>
  <si>
    <t>Branco PVC 0.8×45 mm</t>
  </si>
  <si>
    <t>branco_pvc_08_45mm</t>
  </si>
  <si>
    <t>Carvalho PVC 0.8×23 mm</t>
  </si>
  <si>
    <t>carvalho_pvc_08_23mm</t>
  </si>
  <si>
    <t xml:space="preserve">MDF Branco </t>
  </si>
  <si>
    <t>AGL LAM Linho Cancun</t>
  </si>
  <si>
    <t>2801 × 2070</t>
  </si>
  <si>
    <t>2802 × 2070</t>
  </si>
  <si>
    <t>MDF Preto</t>
  </si>
  <si>
    <t>AGL_LAM_LIN_CAN-19</t>
  </si>
  <si>
    <t>AGL_LAM_LIN_CAN-16</t>
  </si>
  <si>
    <t>AGL_LAM_LIN_CAN-10</t>
  </si>
  <si>
    <t xml:space="preserve">HDF CRU </t>
  </si>
  <si>
    <t>HDF_CRU-40</t>
  </si>
  <si>
    <t>HDF_CRU-30</t>
  </si>
  <si>
    <t>HDF_CRU-22</t>
  </si>
  <si>
    <t>HDF_CRU-19</t>
  </si>
  <si>
    <t>HDF_CRU-16</t>
  </si>
  <si>
    <t>HDF_CRU-10</t>
  </si>
  <si>
    <t>HDF_CRU-6</t>
  </si>
  <si>
    <t>HDF_CRU-3</t>
  </si>
  <si>
    <t>2803 × 2070</t>
  </si>
  <si>
    <t>HDF_FOLHEADO_CARVALHO-20</t>
  </si>
  <si>
    <t>HDF FOLHEADO CARVALHO</t>
  </si>
  <si>
    <t>HDF_FOLHEADO_CARVALHO-17</t>
  </si>
  <si>
    <t>HDF_FOLHEADO_CARVALHO-11</t>
  </si>
  <si>
    <t>AGL_CARVALHO-19</t>
  </si>
  <si>
    <t>AGL_CARVALHO-16</t>
  </si>
  <si>
    <t>AGL_CARVALHO-10</t>
  </si>
  <si>
    <t>AGL CARVALHO</t>
  </si>
  <si>
    <t>HDF FOLHEADO Nogueira</t>
  </si>
  <si>
    <t>HDF_FOLHEADO_NOGUIRA-20</t>
  </si>
  <si>
    <t>HDF_FOLHEADO_NOGUIRA-17</t>
  </si>
  <si>
    <t>HDF_FOLHEADO_NOGUIRA-11</t>
  </si>
  <si>
    <t>HDF LACADO</t>
  </si>
  <si>
    <t>HDF_LACADO-40</t>
  </si>
  <si>
    <t>HDF_LACADO-30</t>
  </si>
  <si>
    <t>HDF_LACADO-11</t>
  </si>
  <si>
    <t>HDF_LACADO-19</t>
  </si>
  <si>
    <t>HDF_LACADO-16</t>
  </si>
  <si>
    <t>HDF_LACADO-10</t>
  </si>
  <si>
    <t>HDF_LACADO-8</t>
  </si>
  <si>
    <t>HDF_LACADO-6</t>
  </si>
  <si>
    <t>CATEGORIA</t>
  </si>
  <si>
    <t>Laminado</t>
  </si>
  <si>
    <t>Folhado de madeira</t>
  </si>
  <si>
    <t>lacado</t>
  </si>
  <si>
    <t>cru</t>
  </si>
  <si>
    <t>HDF_LACADO-3</t>
  </si>
  <si>
    <t>2804 × 2070</t>
  </si>
  <si>
    <t>2805 × 2070</t>
  </si>
  <si>
    <t>2806 × 2070</t>
  </si>
  <si>
    <t>2807 × 2070</t>
  </si>
  <si>
    <t>2808 × 2070</t>
  </si>
  <si>
    <t>2809 × 2070</t>
  </si>
  <si>
    <t>2810 × 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</si>
</sst>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F172A"/>
      <name val="Calibri"/>
    </font>
    <font>
      <sz val="11"/>
      <color rgb="FF0F172A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 style="thin">
        <color rgb="FFCBD5E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Fill="1" applyBorder="1"/>
    <xf numFmtId="0" fontId="2" fillId="0" borderId="2" xfId="0" applyFont="1" applyBorder="1"/>
    <xf numFmtId="0" fontId="2" fillId="0" borderId="3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pane ySplit="1" topLeftCell="A2" activePane="bottomLeft" state="frozen"/>
      <selection pane="bottomLeft" activeCell="J32" sqref="J32"/>
    </sheetView>
  </sheetViews>
  <sheetFormatPr defaultRowHeight="15" x14ac:dyDescent="0.25"/>
  <cols>
    <col min="1" max="1" width="33" customWidth="1"/>
    <col min="2" max="3" width="26" customWidth="1"/>
    <col min="4" max="4" width="23" customWidth="1"/>
    <col min="5" max="5" width="37.42578125" customWidth="1"/>
    <col min="6" max="6" width="17" customWidth="1"/>
    <col min="7" max="7" width="29" customWidth="1"/>
    <col min="8" max="8" width="18" customWidth="1"/>
    <col min="9" max="9" width="27" customWidth="1"/>
  </cols>
  <sheetData>
    <row r="1" spans="1:9" x14ac:dyDescent="0.25">
      <c r="A1" t="s">
        <v>119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120</v>
      </c>
      <c r="B2" s="2" t="s">
        <v>8</v>
      </c>
      <c r="C2" s="2" t="s">
        <v>80</v>
      </c>
      <c r="D2" s="2">
        <v>19</v>
      </c>
      <c r="E2" s="2" t="s">
        <v>10</v>
      </c>
      <c r="F2" s="2" t="s">
        <v>11</v>
      </c>
      <c r="G2" s="2">
        <v>179.68</v>
      </c>
      <c r="H2" s="2">
        <v>31</v>
      </c>
      <c r="I2" s="2" t="s">
        <v>9</v>
      </c>
    </row>
    <row r="3" spans="1:9" x14ac:dyDescent="0.25">
      <c r="B3" s="2"/>
      <c r="C3" s="2"/>
      <c r="D3" s="2">
        <v>16</v>
      </c>
      <c r="E3" s="2" t="s">
        <v>12</v>
      </c>
      <c r="F3" s="2" t="s">
        <v>11</v>
      </c>
      <c r="G3" s="2">
        <v>179.68</v>
      </c>
      <c r="H3" s="2">
        <v>31</v>
      </c>
      <c r="I3" s="2"/>
    </row>
    <row r="4" spans="1:9" x14ac:dyDescent="0.25">
      <c r="B4" s="2"/>
      <c r="C4" s="2"/>
      <c r="D4" s="2">
        <v>10</v>
      </c>
      <c r="E4" s="2" t="s">
        <v>13</v>
      </c>
      <c r="F4" s="2" t="s">
        <v>11</v>
      </c>
      <c r="G4" s="2">
        <v>179.68</v>
      </c>
      <c r="H4" s="2">
        <v>31</v>
      </c>
      <c r="I4" s="2"/>
    </row>
    <row r="5" spans="1:9" x14ac:dyDescent="0.25">
      <c r="B5" s="2" t="s">
        <v>14</v>
      </c>
      <c r="C5" s="2" t="s">
        <v>81</v>
      </c>
      <c r="D5" s="2">
        <v>19</v>
      </c>
      <c r="E5" s="2" t="s">
        <v>85</v>
      </c>
      <c r="F5" s="2" t="s">
        <v>11</v>
      </c>
      <c r="G5" s="2">
        <v>179.68</v>
      </c>
      <c r="H5" s="2">
        <v>31</v>
      </c>
      <c r="I5" s="2" t="s">
        <v>9</v>
      </c>
    </row>
    <row r="6" spans="1:9" x14ac:dyDescent="0.25">
      <c r="B6" s="2"/>
      <c r="C6" s="2"/>
      <c r="D6" s="2">
        <v>16</v>
      </c>
      <c r="E6" s="2" t="s">
        <v>86</v>
      </c>
      <c r="F6" s="2" t="s">
        <v>82</v>
      </c>
      <c r="G6" s="2">
        <v>179.68</v>
      </c>
      <c r="H6" s="2">
        <v>31</v>
      </c>
      <c r="I6" s="2"/>
    </row>
    <row r="7" spans="1:9" x14ac:dyDescent="0.25">
      <c r="B7" s="2"/>
      <c r="C7" s="2"/>
      <c r="D7" s="2">
        <v>10</v>
      </c>
      <c r="E7" s="2" t="s">
        <v>87</v>
      </c>
      <c r="F7" s="2" t="s">
        <v>83</v>
      </c>
      <c r="G7" s="2">
        <v>179.68</v>
      </c>
      <c r="H7" s="2">
        <v>31</v>
      </c>
      <c r="I7" s="2"/>
    </row>
    <row r="8" spans="1:9" x14ac:dyDescent="0.25">
      <c r="B8" s="2" t="s">
        <v>15</v>
      </c>
      <c r="C8" s="2" t="s">
        <v>84</v>
      </c>
      <c r="D8" s="2">
        <v>19</v>
      </c>
      <c r="E8" s="2" t="s">
        <v>16</v>
      </c>
      <c r="F8" s="2" t="s">
        <v>11</v>
      </c>
      <c r="G8" s="2">
        <v>231.84</v>
      </c>
      <c r="H8" s="2">
        <v>40</v>
      </c>
      <c r="I8" s="2" t="s">
        <v>9</v>
      </c>
    </row>
    <row r="9" spans="1:9" x14ac:dyDescent="0.25">
      <c r="B9" s="2"/>
      <c r="C9" s="2"/>
      <c r="D9" s="2">
        <v>19</v>
      </c>
      <c r="E9" s="2" t="s">
        <v>17</v>
      </c>
      <c r="F9" s="2" t="s">
        <v>82</v>
      </c>
      <c r="G9" s="2">
        <v>231.84</v>
      </c>
      <c r="H9" s="2">
        <v>40</v>
      </c>
      <c r="I9" s="2"/>
    </row>
    <row r="10" spans="1:9" x14ac:dyDescent="0.25">
      <c r="B10" s="2"/>
      <c r="C10" s="2"/>
      <c r="D10" s="2">
        <v>16</v>
      </c>
      <c r="E10" s="2" t="s">
        <v>18</v>
      </c>
      <c r="F10" s="2" t="s">
        <v>83</v>
      </c>
      <c r="G10" s="2">
        <v>231.84</v>
      </c>
      <c r="H10" s="2">
        <v>40</v>
      </c>
      <c r="I10" s="2"/>
    </row>
    <row r="11" spans="1:9" x14ac:dyDescent="0.25">
      <c r="B11" s="2"/>
      <c r="C11" s="2"/>
      <c r="D11" s="2">
        <v>10</v>
      </c>
      <c r="E11" s="2" t="s">
        <v>17</v>
      </c>
      <c r="F11" s="2" t="s">
        <v>11</v>
      </c>
      <c r="G11" s="2">
        <v>231.84</v>
      </c>
      <c r="H11" s="2">
        <v>40</v>
      </c>
      <c r="I11" s="2" t="s">
        <v>9</v>
      </c>
    </row>
    <row r="12" spans="1:9" x14ac:dyDescent="0.25">
      <c r="B12" s="2" t="s">
        <v>21</v>
      </c>
      <c r="C12" s="2" t="s">
        <v>105</v>
      </c>
      <c r="D12" s="2">
        <v>19</v>
      </c>
      <c r="E12" s="2" t="s">
        <v>102</v>
      </c>
      <c r="F12" s="2" t="s">
        <v>11</v>
      </c>
      <c r="G12" s="2">
        <v>278.20999999999998</v>
      </c>
      <c r="H12" s="2">
        <v>48</v>
      </c>
      <c r="I12" s="2" t="s">
        <v>9</v>
      </c>
    </row>
    <row r="13" spans="1:9" x14ac:dyDescent="0.25">
      <c r="D13" s="3">
        <v>16</v>
      </c>
      <c r="E13" s="2" t="s">
        <v>103</v>
      </c>
      <c r="F13" s="2" t="s">
        <v>82</v>
      </c>
      <c r="I13" s="2" t="s">
        <v>9</v>
      </c>
    </row>
    <row r="14" spans="1:9" x14ac:dyDescent="0.25">
      <c r="D14" s="3">
        <v>10</v>
      </c>
      <c r="E14" s="2" t="s">
        <v>104</v>
      </c>
      <c r="F14" s="2" t="s">
        <v>83</v>
      </c>
      <c r="I14" s="2" t="s">
        <v>9</v>
      </c>
    </row>
    <row r="16" spans="1:9" x14ac:dyDescent="0.25">
      <c r="A16" t="s">
        <v>121</v>
      </c>
      <c r="B16" s="2" t="s">
        <v>20</v>
      </c>
      <c r="C16" s="2" t="s">
        <v>99</v>
      </c>
      <c r="D16" s="2">
        <v>20</v>
      </c>
      <c r="E16" s="2" t="s">
        <v>98</v>
      </c>
      <c r="F16" s="2" t="s">
        <v>11</v>
      </c>
      <c r="G16" s="2">
        <v>278.20999999999998</v>
      </c>
      <c r="H16" s="2">
        <v>48</v>
      </c>
      <c r="I16" s="2" t="s">
        <v>9</v>
      </c>
    </row>
    <row r="17" spans="1:9" x14ac:dyDescent="0.25">
      <c r="D17" s="3">
        <v>17</v>
      </c>
      <c r="E17" t="s">
        <v>100</v>
      </c>
      <c r="F17" s="2" t="s">
        <v>82</v>
      </c>
      <c r="G17" s="2">
        <v>278.20999999999998</v>
      </c>
      <c r="H17" s="2">
        <v>48</v>
      </c>
      <c r="I17" s="2" t="s">
        <v>9</v>
      </c>
    </row>
    <row r="18" spans="1:9" x14ac:dyDescent="0.25">
      <c r="D18" s="3">
        <v>11</v>
      </c>
      <c r="E18" t="s">
        <v>101</v>
      </c>
      <c r="F18" s="2" t="s">
        <v>83</v>
      </c>
      <c r="G18" s="2">
        <v>278.20999999999998</v>
      </c>
      <c r="H18" s="2">
        <v>48</v>
      </c>
      <c r="I18" s="2" t="s">
        <v>9</v>
      </c>
    </row>
    <row r="19" spans="1:9" x14ac:dyDescent="0.25">
      <c r="B19" s="2" t="s">
        <v>22</v>
      </c>
      <c r="C19" s="2" t="s">
        <v>106</v>
      </c>
      <c r="D19" s="3">
        <v>20</v>
      </c>
      <c r="E19" s="2" t="s">
        <v>107</v>
      </c>
      <c r="F19" s="2" t="s">
        <v>97</v>
      </c>
      <c r="G19" s="6">
        <f>H19*5.8</f>
        <v>278.39999999999998</v>
      </c>
      <c r="H19" s="2">
        <v>48</v>
      </c>
      <c r="I19" s="2" t="s">
        <v>9</v>
      </c>
    </row>
    <row r="20" spans="1:9" x14ac:dyDescent="0.25">
      <c r="D20" s="3">
        <v>17</v>
      </c>
      <c r="E20" s="2" t="s">
        <v>108</v>
      </c>
      <c r="F20" s="2" t="s">
        <v>125</v>
      </c>
      <c r="G20" s="6">
        <f t="shared" ref="G20:G31" si="0">H20*5.8</f>
        <v>278.39999999999998</v>
      </c>
      <c r="H20" s="2">
        <v>48</v>
      </c>
      <c r="I20" s="2" t="s">
        <v>9</v>
      </c>
    </row>
    <row r="21" spans="1:9" x14ac:dyDescent="0.25">
      <c r="D21" s="3">
        <v>11</v>
      </c>
      <c r="E21" s="2" t="s">
        <v>109</v>
      </c>
      <c r="F21" s="2" t="s">
        <v>126</v>
      </c>
      <c r="G21" s="6">
        <f t="shared" si="0"/>
        <v>278.39999999999998</v>
      </c>
      <c r="H21" s="2">
        <v>48</v>
      </c>
      <c r="I21" s="2" t="s">
        <v>9</v>
      </c>
    </row>
    <row r="22" spans="1:9" x14ac:dyDescent="0.25">
      <c r="D22" s="3"/>
      <c r="E22" s="4"/>
      <c r="G22" s="6"/>
      <c r="I22" s="2"/>
    </row>
    <row r="23" spans="1:9" x14ac:dyDescent="0.25">
      <c r="A23" t="s">
        <v>122</v>
      </c>
      <c r="B23" s="2" t="s">
        <v>23</v>
      </c>
      <c r="C23" t="s">
        <v>110</v>
      </c>
      <c r="D23" s="3">
        <v>40</v>
      </c>
      <c r="E23" s="3" t="s">
        <v>111</v>
      </c>
      <c r="F23" s="2" t="s">
        <v>83</v>
      </c>
      <c r="G23" s="6">
        <f t="shared" si="0"/>
        <v>493</v>
      </c>
      <c r="H23" s="5">
        <v>85</v>
      </c>
      <c r="I23" s="2" t="s">
        <v>9</v>
      </c>
    </row>
    <row r="24" spans="1:9" x14ac:dyDescent="0.25">
      <c r="D24" s="3">
        <v>30</v>
      </c>
      <c r="E24" t="s">
        <v>112</v>
      </c>
      <c r="F24" s="2" t="s">
        <v>97</v>
      </c>
      <c r="G24" s="6">
        <f t="shared" si="0"/>
        <v>493</v>
      </c>
      <c r="H24" s="5">
        <v>85</v>
      </c>
      <c r="I24" s="2"/>
    </row>
    <row r="25" spans="1:9" x14ac:dyDescent="0.25">
      <c r="B25" s="2"/>
      <c r="C25" s="2"/>
      <c r="D25" s="2">
        <v>22</v>
      </c>
      <c r="E25" s="2" t="s">
        <v>113</v>
      </c>
      <c r="F25" s="2" t="s">
        <v>125</v>
      </c>
      <c r="G25" s="6">
        <f t="shared" si="0"/>
        <v>493</v>
      </c>
      <c r="H25" s="5">
        <v>85</v>
      </c>
    </row>
    <row r="26" spans="1:9" x14ac:dyDescent="0.25">
      <c r="B26" s="2"/>
      <c r="C26" s="2"/>
      <c r="D26" s="2">
        <v>19</v>
      </c>
      <c r="E26" s="2" t="s">
        <v>114</v>
      </c>
      <c r="F26" s="2" t="s">
        <v>126</v>
      </c>
      <c r="G26" s="6">
        <f t="shared" si="0"/>
        <v>493</v>
      </c>
      <c r="H26" s="5">
        <v>85</v>
      </c>
    </row>
    <row r="27" spans="1:9" x14ac:dyDescent="0.25">
      <c r="B27" s="2"/>
      <c r="C27" s="2"/>
      <c r="D27" s="2">
        <v>16</v>
      </c>
      <c r="E27" s="2" t="s">
        <v>115</v>
      </c>
      <c r="F27" s="2" t="s">
        <v>127</v>
      </c>
      <c r="G27" s="6">
        <f t="shared" si="0"/>
        <v>493</v>
      </c>
      <c r="H27" s="5">
        <v>85</v>
      </c>
    </row>
    <row r="28" spans="1:9" x14ac:dyDescent="0.25">
      <c r="B28" s="2"/>
      <c r="C28" s="2"/>
      <c r="D28" s="2">
        <v>10</v>
      </c>
      <c r="E28" s="2" t="s">
        <v>116</v>
      </c>
      <c r="F28" s="2" t="s">
        <v>128</v>
      </c>
      <c r="G28" s="6">
        <f t="shared" si="0"/>
        <v>464</v>
      </c>
      <c r="H28" s="5">
        <v>80</v>
      </c>
    </row>
    <row r="29" spans="1:9" x14ac:dyDescent="0.25">
      <c r="B29" s="2"/>
      <c r="C29" s="2"/>
      <c r="D29" s="2">
        <v>8</v>
      </c>
      <c r="E29" s="2" t="s">
        <v>117</v>
      </c>
      <c r="F29" s="2" t="s">
        <v>129</v>
      </c>
      <c r="G29" s="6">
        <f t="shared" si="0"/>
        <v>435</v>
      </c>
      <c r="H29" s="5">
        <v>75</v>
      </c>
    </row>
    <row r="30" spans="1:9" x14ac:dyDescent="0.25">
      <c r="B30" s="2"/>
      <c r="C30" s="2"/>
      <c r="D30" s="2">
        <v>6</v>
      </c>
      <c r="E30" s="2" t="s">
        <v>118</v>
      </c>
      <c r="F30" s="2" t="s">
        <v>130</v>
      </c>
      <c r="G30" s="6">
        <f t="shared" si="0"/>
        <v>406</v>
      </c>
      <c r="H30" s="5">
        <v>70</v>
      </c>
    </row>
    <row r="31" spans="1:9" x14ac:dyDescent="0.25">
      <c r="B31" s="2"/>
      <c r="C31" s="2"/>
      <c r="D31" s="2">
        <v>3</v>
      </c>
      <c r="E31" s="2" t="s">
        <v>124</v>
      </c>
      <c r="F31" s="2" t="s">
        <v>131</v>
      </c>
      <c r="G31" s="6">
        <f t="shared" si="0"/>
        <v>348</v>
      </c>
      <c r="H31" s="2">
        <v>60</v>
      </c>
    </row>
    <row r="32" spans="1:9" x14ac:dyDescent="0.25">
      <c r="B32" s="2"/>
      <c r="C32" s="2"/>
      <c r="D32" s="2"/>
      <c r="E32" s="2"/>
      <c r="F32" s="2"/>
      <c r="G32" s="2"/>
      <c r="H32" s="2"/>
    </row>
    <row r="33" spans="1:9" x14ac:dyDescent="0.25">
      <c r="A33" t="s">
        <v>123</v>
      </c>
      <c r="B33" s="2" t="s">
        <v>19</v>
      </c>
      <c r="C33" s="2" t="s">
        <v>88</v>
      </c>
      <c r="D33" s="2">
        <v>40</v>
      </c>
      <c r="E33" s="2" t="s">
        <v>89</v>
      </c>
      <c r="F33" s="2" t="s">
        <v>11</v>
      </c>
      <c r="G33" s="2">
        <f>H33*5.8</f>
        <v>493</v>
      </c>
      <c r="H33" s="5">
        <v>85</v>
      </c>
      <c r="I33" s="2" t="s">
        <v>9</v>
      </c>
    </row>
    <row r="34" spans="1:9" x14ac:dyDescent="0.25">
      <c r="B34" s="2"/>
      <c r="C34" s="2"/>
      <c r="D34" s="2">
        <v>30</v>
      </c>
      <c r="E34" s="2" t="s">
        <v>90</v>
      </c>
      <c r="F34" s="2" t="s">
        <v>82</v>
      </c>
      <c r="G34" s="2">
        <f t="shared" ref="G34:G36" si="1">H34*5.8</f>
        <v>493</v>
      </c>
      <c r="H34" s="5">
        <v>85</v>
      </c>
      <c r="I34" s="2"/>
    </row>
    <row r="35" spans="1:9" x14ac:dyDescent="0.25">
      <c r="B35" s="2"/>
      <c r="C35" s="2"/>
      <c r="D35" s="2">
        <v>22</v>
      </c>
      <c r="E35" s="2" t="s">
        <v>91</v>
      </c>
      <c r="F35" s="2" t="s">
        <v>83</v>
      </c>
      <c r="G35" s="2">
        <f t="shared" si="1"/>
        <v>493</v>
      </c>
      <c r="H35" s="5">
        <v>85</v>
      </c>
      <c r="I35" s="2"/>
    </row>
    <row r="36" spans="1:9" x14ac:dyDescent="0.25">
      <c r="B36" s="2"/>
      <c r="C36" s="2"/>
      <c r="D36" s="2">
        <v>19</v>
      </c>
      <c r="E36" s="2" t="s">
        <v>92</v>
      </c>
      <c r="F36" s="2" t="s">
        <v>97</v>
      </c>
      <c r="G36" s="2">
        <f t="shared" si="1"/>
        <v>493</v>
      </c>
      <c r="H36" s="5">
        <v>85</v>
      </c>
      <c r="I36" s="2"/>
    </row>
    <row r="37" spans="1:9" x14ac:dyDescent="0.25">
      <c r="B37" s="2"/>
      <c r="C37" s="2"/>
      <c r="D37" s="2">
        <v>16</v>
      </c>
      <c r="E37" s="2" t="s">
        <v>93</v>
      </c>
      <c r="F37" s="2" t="s">
        <v>11</v>
      </c>
      <c r="G37" s="2">
        <v>87</v>
      </c>
      <c r="H37" s="5">
        <v>85</v>
      </c>
      <c r="I37" s="2" t="s">
        <v>9</v>
      </c>
    </row>
    <row r="38" spans="1:9" x14ac:dyDescent="0.25">
      <c r="D38" s="3">
        <v>10</v>
      </c>
      <c r="E38" t="s">
        <v>94</v>
      </c>
      <c r="F38" s="2" t="s">
        <v>82</v>
      </c>
      <c r="G38" s="2">
        <v>87</v>
      </c>
      <c r="H38" s="5">
        <v>80</v>
      </c>
      <c r="I38" s="2" t="s">
        <v>9</v>
      </c>
    </row>
    <row r="39" spans="1:9" x14ac:dyDescent="0.25">
      <c r="D39" s="3">
        <v>6</v>
      </c>
      <c r="E39" t="s">
        <v>95</v>
      </c>
      <c r="F39" s="2" t="s">
        <v>83</v>
      </c>
      <c r="G39" s="2">
        <v>87</v>
      </c>
      <c r="H39" s="5">
        <v>75</v>
      </c>
      <c r="I39" s="2" t="s">
        <v>9</v>
      </c>
    </row>
    <row r="40" spans="1:9" x14ac:dyDescent="0.25">
      <c r="D40" s="3">
        <v>3</v>
      </c>
      <c r="E40" t="s">
        <v>96</v>
      </c>
      <c r="F40" s="2" t="s">
        <v>97</v>
      </c>
      <c r="H40" s="5">
        <v>70</v>
      </c>
      <c r="I40" s="2" t="s">
        <v>9</v>
      </c>
    </row>
    <row r="41" spans="1:9" x14ac:dyDescent="0.25">
      <c r="B41" s="2"/>
      <c r="C41" s="2"/>
      <c r="D41" s="2"/>
      <c r="E41" s="2"/>
      <c r="F41" s="2"/>
      <c r="G41" s="2"/>
      <c r="H41" s="2"/>
    </row>
    <row r="42" spans="1:9" x14ac:dyDescent="0.25">
      <c r="B42" s="2"/>
      <c r="C42" s="2"/>
      <c r="D42" s="2"/>
      <c r="E42" s="2"/>
      <c r="F42" s="2"/>
      <c r="G42" s="2"/>
      <c r="H42" s="2"/>
    </row>
    <row r="43" spans="1:9" x14ac:dyDescent="0.25">
      <c r="B43" s="2"/>
      <c r="C43" s="2"/>
      <c r="D43" s="2"/>
      <c r="E43" s="2"/>
      <c r="F43" s="2"/>
      <c r="G43" s="2"/>
      <c r="H43" s="2"/>
    </row>
    <row r="44" spans="1:9" x14ac:dyDescent="0.25">
      <c r="B44" s="2"/>
      <c r="C44" s="2"/>
      <c r="D44" s="2"/>
      <c r="E44" s="2"/>
      <c r="F44" s="2"/>
      <c r="G44" s="2"/>
      <c r="H44" s="2"/>
    </row>
    <row r="45" spans="1:9" x14ac:dyDescent="0.25">
      <c r="B45" s="2"/>
      <c r="C45" s="2"/>
      <c r="D45" s="2"/>
      <c r="E45" s="2"/>
      <c r="F45" s="2"/>
      <c r="G45" s="2"/>
      <c r="H45" s="2"/>
    </row>
    <row r="46" spans="1:9" x14ac:dyDescent="0.25">
      <c r="D46" s="3"/>
      <c r="G46" s="2"/>
      <c r="H46" s="3"/>
    </row>
    <row r="47" spans="1:9" x14ac:dyDescent="0.25">
      <c r="D47" s="3"/>
      <c r="G47" s="2"/>
      <c r="H47" s="3"/>
    </row>
    <row r="48" spans="1:9" x14ac:dyDescent="0.25">
      <c r="D48" s="3"/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7"/>
  <sheetViews>
    <sheetView workbookViewId="0">
      <pane ySplit="1" topLeftCell="A2" activePane="bottomLeft" state="frozen"/>
      <selection pane="bottomLeft" activeCell="F28" sqref="F28"/>
    </sheetView>
  </sheetViews>
  <sheetFormatPr defaultRowHeight="15" x14ac:dyDescent="0.25"/>
  <cols>
    <col min="2" max="2" width="28" customWidth="1"/>
    <col min="3" max="4" width="20" customWidth="1"/>
    <col min="5" max="5" width="23" customWidth="1"/>
    <col min="6" max="6" width="21" customWidth="1"/>
  </cols>
  <sheetData>
    <row r="1" spans="2:6" x14ac:dyDescent="0.25">
      <c r="B1" s="1" t="s">
        <v>24</v>
      </c>
      <c r="C1" s="1" t="s">
        <v>2</v>
      </c>
      <c r="D1" s="1" t="s">
        <v>25</v>
      </c>
      <c r="E1" s="1" t="s">
        <v>26</v>
      </c>
      <c r="F1" s="1" t="s">
        <v>27</v>
      </c>
    </row>
    <row r="2" spans="2:6" x14ac:dyDescent="0.25">
      <c r="B2" s="2" t="s">
        <v>28</v>
      </c>
      <c r="C2" s="2" t="s">
        <v>29</v>
      </c>
      <c r="D2" s="2" t="s">
        <v>30</v>
      </c>
      <c r="E2" s="2">
        <v>0.15</v>
      </c>
      <c r="F2" s="2" t="s">
        <v>9</v>
      </c>
    </row>
    <row r="3" spans="2:6" x14ac:dyDescent="0.25">
      <c r="B3" s="2" t="s">
        <v>31</v>
      </c>
      <c r="C3" s="2" t="s">
        <v>32</v>
      </c>
      <c r="D3" s="2" t="s">
        <v>33</v>
      </c>
      <c r="E3" s="2">
        <v>0.1</v>
      </c>
      <c r="F3" s="2" t="s">
        <v>9</v>
      </c>
    </row>
    <row r="4" spans="2:6" x14ac:dyDescent="0.25">
      <c r="B4" s="2" t="s">
        <v>34</v>
      </c>
      <c r="C4" s="2" t="s">
        <v>35</v>
      </c>
      <c r="D4" s="2" t="s">
        <v>36</v>
      </c>
      <c r="E4" s="2">
        <v>0.14000000000000001</v>
      </c>
      <c r="F4" s="2" t="s">
        <v>9</v>
      </c>
    </row>
    <row r="5" spans="2:6" x14ac:dyDescent="0.25">
      <c r="B5" s="2" t="s">
        <v>37</v>
      </c>
      <c r="C5" s="2" t="s">
        <v>38</v>
      </c>
      <c r="D5" s="2" t="s">
        <v>39</v>
      </c>
      <c r="E5" s="2">
        <v>0.24</v>
      </c>
      <c r="F5" s="2" t="s">
        <v>9</v>
      </c>
    </row>
    <row r="6" spans="2:6" x14ac:dyDescent="0.25">
      <c r="B6" s="2" t="s">
        <v>40</v>
      </c>
      <c r="C6" s="2" t="s">
        <v>41</v>
      </c>
      <c r="D6" s="2" t="s">
        <v>42</v>
      </c>
      <c r="E6" s="2">
        <v>0.7</v>
      </c>
      <c r="F6" s="2" t="s">
        <v>9</v>
      </c>
    </row>
    <row r="7" spans="2:6" x14ac:dyDescent="0.25">
      <c r="B7" s="2" t="s">
        <v>43</v>
      </c>
      <c r="C7" s="2" t="s">
        <v>44</v>
      </c>
      <c r="D7" s="2" t="s">
        <v>45</v>
      </c>
      <c r="E7" s="2">
        <v>0.05</v>
      </c>
      <c r="F7" s="2" t="s">
        <v>9</v>
      </c>
    </row>
    <row r="8" spans="2:6" x14ac:dyDescent="0.25">
      <c r="B8" s="2" t="s">
        <v>46</v>
      </c>
      <c r="C8" s="2" t="s">
        <v>47</v>
      </c>
      <c r="D8" s="2" t="s">
        <v>48</v>
      </c>
      <c r="E8" s="2">
        <v>0.08</v>
      </c>
      <c r="F8" s="2" t="s">
        <v>9</v>
      </c>
    </row>
    <row r="9" spans="2:6" x14ac:dyDescent="0.25">
      <c r="B9" s="2" t="s">
        <v>49</v>
      </c>
      <c r="C9" s="2" t="s">
        <v>50</v>
      </c>
      <c r="D9" s="2" t="s">
        <v>51</v>
      </c>
      <c r="E9" s="2">
        <v>2.5</v>
      </c>
      <c r="F9" s="2" t="s">
        <v>9</v>
      </c>
    </row>
    <row r="10" spans="2:6" x14ac:dyDescent="0.25">
      <c r="B10" s="2" t="s">
        <v>52</v>
      </c>
      <c r="C10" s="2" t="s">
        <v>53</v>
      </c>
      <c r="D10" s="2" t="s">
        <v>54</v>
      </c>
      <c r="E10" s="2">
        <v>0</v>
      </c>
      <c r="F10" s="2" t="s">
        <v>9</v>
      </c>
    </row>
    <row r="11" spans="2:6" x14ac:dyDescent="0.25">
      <c r="B11" s="2" t="s">
        <v>52</v>
      </c>
      <c r="C11" s="2" t="s">
        <v>55</v>
      </c>
      <c r="D11" s="2" t="s">
        <v>54</v>
      </c>
      <c r="E11" s="2">
        <v>0</v>
      </c>
      <c r="F11" s="2" t="s">
        <v>9</v>
      </c>
    </row>
    <row r="12" spans="2:6" x14ac:dyDescent="0.25">
      <c r="B12" s="2" t="s">
        <v>56</v>
      </c>
      <c r="C12" s="2" t="s">
        <v>57</v>
      </c>
      <c r="D12" s="2" t="s">
        <v>9</v>
      </c>
      <c r="E12" s="2">
        <v>0.9</v>
      </c>
      <c r="F12" s="2" t="s">
        <v>9</v>
      </c>
    </row>
    <row r="13" spans="2:6" x14ac:dyDescent="0.25">
      <c r="B13" s="2" t="s">
        <v>58</v>
      </c>
      <c r="C13" s="2" t="s">
        <v>59</v>
      </c>
      <c r="D13" s="2" t="s">
        <v>9</v>
      </c>
      <c r="E13" s="2">
        <v>9.5</v>
      </c>
      <c r="F13" s="2" t="s">
        <v>9</v>
      </c>
    </row>
    <row r="14" spans="2:6" x14ac:dyDescent="0.25">
      <c r="B14" s="2" t="s">
        <v>60</v>
      </c>
      <c r="C14" s="2" t="s">
        <v>61</v>
      </c>
      <c r="D14" s="2" t="s">
        <v>9</v>
      </c>
      <c r="E14" s="2">
        <v>9.5</v>
      </c>
      <c r="F14" s="2" t="s">
        <v>9</v>
      </c>
    </row>
    <row r="15" spans="2:6" x14ac:dyDescent="0.25">
      <c r="B15" s="2" t="s">
        <v>62</v>
      </c>
      <c r="C15" s="2" t="s">
        <v>63</v>
      </c>
      <c r="D15" s="2" t="s">
        <v>64</v>
      </c>
      <c r="E15" s="2">
        <v>0.02</v>
      </c>
      <c r="F15" s="2" t="s">
        <v>9</v>
      </c>
    </row>
    <row r="16" spans="2:6" x14ac:dyDescent="0.25">
      <c r="B16" s="2" t="s">
        <v>65</v>
      </c>
      <c r="C16" s="2" t="s">
        <v>66</v>
      </c>
      <c r="D16" s="2" t="s">
        <v>67</v>
      </c>
      <c r="E16" s="2">
        <v>0.12</v>
      </c>
      <c r="F16" s="2" t="s">
        <v>9</v>
      </c>
    </row>
    <row r="17" spans="2:6" x14ac:dyDescent="0.25">
      <c r="B17" s="2" t="s">
        <v>68</v>
      </c>
      <c r="C17" s="2" t="s">
        <v>69</v>
      </c>
      <c r="D17" s="2" t="s">
        <v>70</v>
      </c>
      <c r="E17" s="2">
        <v>2.8</v>
      </c>
      <c r="F17" s="2" t="s"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2" customWidth="1"/>
    <col min="3" max="3" width="16" customWidth="1"/>
    <col min="4" max="4" width="21" customWidth="1"/>
    <col min="5" max="5" width="20" customWidth="1"/>
  </cols>
  <sheetData>
    <row r="1" spans="1:5" x14ac:dyDescent="0.25">
      <c r="A1" s="1" t="s">
        <v>24</v>
      </c>
      <c r="B1" s="1" t="s">
        <v>2</v>
      </c>
      <c r="C1" s="1" t="s">
        <v>3</v>
      </c>
      <c r="D1" s="1" t="s">
        <v>27</v>
      </c>
      <c r="E1" s="1" t="s">
        <v>71</v>
      </c>
    </row>
    <row r="2" spans="1:5" x14ac:dyDescent="0.25">
      <c r="A2" s="2" t="s">
        <v>72</v>
      </c>
      <c r="B2" s="2" t="s">
        <v>73</v>
      </c>
      <c r="C2" s="2">
        <v>0.8</v>
      </c>
      <c r="D2" s="2">
        <v>0.53</v>
      </c>
      <c r="E2" s="2" t="s">
        <v>9</v>
      </c>
    </row>
    <row r="3" spans="1:5" x14ac:dyDescent="0.25">
      <c r="A3" s="2" t="s">
        <v>74</v>
      </c>
      <c r="B3" s="2" t="s">
        <v>75</v>
      </c>
      <c r="C3" s="2">
        <v>0.8</v>
      </c>
      <c r="D3" s="2">
        <v>0.53</v>
      </c>
      <c r="E3" s="2" t="s">
        <v>9</v>
      </c>
    </row>
    <row r="4" spans="1:5" x14ac:dyDescent="0.25">
      <c r="A4" s="2" t="s">
        <v>76</v>
      </c>
      <c r="B4" s="2" t="s">
        <v>77</v>
      </c>
      <c r="C4" s="2">
        <v>0.8</v>
      </c>
      <c r="D4" s="2">
        <v>0.53</v>
      </c>
      <c r="E4" s="2" t="s">
        <v>9</v>
      </c>
    </row>
    <row r="5" spans="1:5" x14ac:dyDescent="0.25">
      <c r="A5" s="2" t="s">
        <v>78</v>
      </c>
      <c r="B5" s="2" t="s">
        <v>79</v>
      </c>
      <c r="C5" s="2">
        <v>0.8</v>
      </c>
      <c r="D5" s="2">
        <v>0.65</v>
      </c>
      <c r="E5" s="2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Chapas</vt:lpstr>
      <vt:lpstr>Freeagens</vt:lpstr>
      <vt:lpstr>Orla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SSOT de materiais PIMO (PT-PT). Editar «Nome novo padronizado» e preços; o sistema lê este ficheiro.</dc:description>
  <cp:lastModifiedBy/>
  <dcterms:created xsi:type="dcterms:W3CDTF">2026-08-05T08:42:13Z</dcterms:created>
  <dcterms:modified xsi:type="dcterms:W3CDTF">2026-08-05T09:36:11Z</dcterms:modified>
  <cp:category/>
</cp:coreProperties>
</file>